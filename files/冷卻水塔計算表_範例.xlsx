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輸入參數" sheetId="1" state="visible" r:id="rId1"/>
    <sheet xmlns:r="http://schemas.openxmlformats.org/officeDocument/2006/relationships" name="計算過程" sheetId="2" state="visible" r:id="rId2"/>
    <sheet xmlns:r="http://schemas.openxmlformats.org/officeDocument/2006/relationships" name="結果摘要" sheetId="3" state="visible" r:id="rId3"/>
    <sheet xmlns:r="http://schemas.openxmlformats.org/officeDocument/2006/relationships" name="敏感度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5276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2C3E50"/>
      <sz val="11"/>
    </font>
    <font>
      <name val="Arial"/>
      <b val="1"/>
      <color rgb="000000FF"/>
      <sz val="10"/>
    </font>
    <font>
      <name val="Arial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1" t="inlineStr">
        <is>
          <t>冷卻水塔 - 輸入參數</t>
        </is>
      </c>
    </row>
    <row r="2">
      <c r="A2" s="2" t="inlineStr">
        <is>
          <t>專案：冷卻水塔蒸發量分析  |  計算人員：Ryan  |  日期：2026-03-14</t>
        </is>
      </c>
    </row>
    <row r="4">
      <c r="A4" s="3" t="inlineStr">
        <is>
          <t>參數</t>
        </is>
      </c>
      <c r="B4" s="3" t="inlineStr">
        <is>
          <t>數值</t>
        </is>
      </c>
      <c r="C4" s="3" t="inlineStr">
        <is>
          <t>單位</t>
        </is>
      </c>
    </row>
    <row r="5">
      <c r="A5" s="4" t="inlineStr">
        <is>
          <t>循環水量 (Q)</t>
        </is>
      </c>
      <c r="B5" s="5" t="n">
        <v>500</v>
      </c>
      <c r="C5" s="5" t="inlineStr">
        <is>
          <t>m³/h</t>
        </is>
      </c>
    </row>
    <row r="6">
      <c r="A6" s="6" t="inlineStr">
        <is>
          <t>進水溫度 (T_in)</t>
        </is>
      </c>
      <c r="B6" s="7" t="n">
        <v>37</v>
      </c>
      <c r="C6" s="7" t="inlineStr">
        <is>
          <t>°C</t>
        </is>
      </c>
    </row>
    <row r="7">
      <c r="A7" s="4" t="inlineStr">
        <is>
          <t>出水溫度 (T_out)</t>
        </is>
      </c>
      <c r="B7" s="5" t="n">
        <v>32</v>
      </c>
      <c r="C7" s="5" t="inlineStr">
        <is>
          <t>°C</t>
        </is>
      </c>
    </row>
    <row r="8">
      <c r="A8" s="6" t="inlineStr">
        <is>
          <t>溫差 (ΔT)</t>
        </is>
      </c>
      <c r="B8" s="7" t="n">
        <v>5</v>
      </c>
      <c r="C8" s="7" t="inlineStr">
        <is>
          <t>°C</t>
        </is>
      </c>
    </row>
    <row r="9">
      <c r="A9" s="4" t="inlineStr">
        <is>
          <t>乾球溫度 (Tdb)</t>
        </is>
      </c>
      <c r="B9" s="5" t="n">
        <v>35</v>
      </c>
      <c r="C9" s="5" t="inlineStr">
        <is>
          <t>°C</t>
        </is>
      </c>
    </row>
    <row r="10">
      <c r="A10" s="6" t="inlineStr">
        <is>
          <t>濕球溫度 (Twb)</t>
        </is>
      </c>
      <c r="B10" s="7" t="n">
        <v>28</v>
      </c>
      <c r="C10" s="7" t="inlineStr">
        <is>
          <t>°C</t>
        </is>
      </c>
    </row>
    <row r="11">
      <c r="A11" s="4" t="inlineStr">
        <is>
          <t>空氣流量 (G)</t>
        </is>
      </c>
      <c r="B11" s="5" t="n">
        <v>400000</v>
      </c>
      <c r="C11" s="5" t="inlineStr">
        <is>
          <t>m³/h</t>
        </is>
      </c>
    </row>
    <row r="12">
      <c r="A12" s="6" t="inlineStr">
        <is>
          <t>填料特性係數 (KaV/L)</t>
        </is>
      </c>
      <c r="B12" s="7" t="n">
        <v>1.5</v>
      </c>
      <c r="C12" s="7" t="inlineStr">
        <is>
          <t>-</t>
        </is>
      </c>
    </row>
    <row r="13">
      <c r="A13" s="4" t="inlineStr">
        <is>
          <t>濃縮倍數 (COC)</t>
        </is>
      </c>
      <c r="B13" s="5" t="n">
        <v>3</v>
      </c>
      <c r="C13" s="5" t="inlineStr">
        <is>
          <t>-</t>
        </is>
      </c>
    </row>
    <row r="14">
      <c r="A14" s="6" t="inlineStr">
        <is>
          <t>水塔類型</t>
        </is>
      </c>
      <c r="B14" s="7" t="inlineStr">
        <is>
          <t>逆流式</t>
        </is>
      </c>
      <c r="C14" s="7" t="inlineStr">
        <is>
          <t>-</t>
        </is>
      </c>
    </row>
    <row r="15">
      <c r="A15" s="4" t="inlineStr">
        <is>
          <t>季節</t>
        </is>
      </c>
      <c r="B15" s="5" t="inlineStr">
        <is>
          <t>夏季 (C=1.0)</t>
        </is>
      </c>
      <c r="C15" s="5" t="inlineStr">
        <is>
          <t>-</t>
        </is>
      </c>
    </row>
    <row r="16">
      <c r="A16" s="6" t="inlineStr">
        <is>
          <t>大氣壓力</t>
        </is>
      </c>
      <c r="B16" s="7" t="n">
        <v>101.325</v>
      </c>
      <c r="C16" s="7" t="inlineStr">
        <is>
          <t>kPa</t>
        </is>
      </c>
    </row>
    <row r="17">
      <c r="A17" s="4" t="inlineStr">
        <is>
          <t>水的密度</t>
        </is>
      </c>
      <c r="B17" s="5" t="n">
        <v>1000</v>
      </c>
      <c r="C17" s="5" t="inlineStr">
        <is>
          <t>kg/m³</t>
        </is>
      </c>
    </row>
    <row r="18">
      <c r="A18" s="6" t="inlineStr">
        <is>
          <t>水的比熱</t>
        </is>
      </c>
      <c r="B18" s="7" t="n">
        <v>4.186</v>
      </c>
      <c r="C18" s="7" t="inlineStr">
        <is>
          <t>kJ/(kg·°C)</t>
        </is>
      </c>
    </row>
    <row r="19">
      <c r="A19" s="4" t="inlineStr">
        <is>
          <t>空氣密度（近似）</t>
        </is>
      </c>
      <c r="B19" s="5" t="n">
        <v>1.2</v>
      </c>
      <c r="C19" s="5" t="inlineStr">
        <is>
          <t>kg/m³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22" customWidth="1" min="4" max="4"/>
  </cols>
  <sheetData>
    <row r="1">
      <c r="A1" s="1" t="inlineStr">
        <is>
          <t>逐步計算過程</t>
        </is>
      </c>
    </row>
    <row r="3">
      <c r="A3" s="3" t="inlineStr">
        <is>
          <t>步驟</t>
        </is>
      </c>
      <c r="B3" s="3" t="inlineStr">
        <is>
          <t>公式</t>
        </is>
      </c>
      <c r="C3" s="3" t="inlineStr">
        <is>
          <t>代入數值</t>
        </is>
      </c>
      <c r="D3" s="3" t="inlineStr">
        <is>
          <t>計算結果</t>
        </is>
      </c>
    </row>
    <row r="4">
      <c r="A4" s="4" t="inlineStr">
        <is>
          <t>1. 溫差計算</t>
        </is>
      </c>
      <c r="B4" s="8" t="inlineStr">
        <is>
          <t>ΔT = T_in - T_out</t>
        </is>
      </c>
      <c r="C4" s="4" t="inlineStr">
        <is>
          <t>37 - 32</t>
        </is>
      </c>
      <c r="D4" s="5" t="inlineStr">
        <is>
          <t>5.0 °C</t>
        </is>
      </c>
    </row>
    <row r="5">
      <c r="A5" s="6" t="inlineStr">
        <is>
          <t>2. 蒸發係數 (C)</t>
        </is>
      </c>
      <c r="B5" s="9" t="inlineStr">
        <is>
          <t>C = 1.0（夏季）</t>
        </is>
      </c>
      <c r="C5" s="6" t="inlineStr">
        <is>
          <t>-</t>
        </is>
      </c>
      <c r="D5" s="7" t="inlineStr">
        <is>
          <t>1.0</t>
        </is>
      </c>
    </row>
    <row r="6">
      <c r="A6" s="4" t="inlineStr">
        <is>
          <t>3. 簡易公式蒸發量</t>
        </is>
      </c>
      <c r="B6" s="8" t="inlineStr">
        <is>
          <t>E = C × ΔT × Q / 600</t>
        </is>
      </c>
      <c r="C6" s="4" t="inlineStr">
        <is>
          <t>1.0 × 5.0 × 500.0 / 600</t>
        </is>
      </c>
      <c r="D6" s="5" t="inlineStr">
        <is>
          <t>4.1667 m³/h</t>
        </is>
      </c>
    </row>
    <row r="7">
      <c r="A7" s="6" t="inlineStr"/>
      <c r="B7" s="6" t="inlineStr"/>
      <c r="C7" s="6" t="inlineStr"/>
      <c r="D7" s="7" t="inlineStr"/>
    </row>
    <row r="8">
      <c r="A8" s="4" t="inlineStr">
        <is>
          <t>4. 水的質量流率 (L)</t>
        </is>
      </c>
      <c r="B8" s="8" t="inlineStr">
        <is>
          <t>L = Q × ρw / 3600</t>
        </is>
      </c>
      <c r="C8" s="4" t="inlineStr">
        <is>
          <t>500.0 × 1000 / 3600</t>
        </is>
      </c>
      <c r="D8" s="5" t="inlineStr">
        <is>
          <t>138.89 kg/s</t>
        </is>
      </c>
    </row>
    <row r="9">
      <c r="A9" s="6" t="inlineStr">
        <is>
          <t>5. 空氣質量流率 (G_m)</t>
        </is>
      </c>
      <c r="B9" s="9" t="inlineStr">
        <is>
          <t>G_m = G × ρa / 3600</t>
        </is>
      </c>
      <c r="C9" s="6" t="inlineStr">
        <is>
          <t>400000.0 × 1.2 / 3600</t>
        </is>
      </c>
      <c r="D9" s="7" t="inlineStr">
        <is>
          <t>133.33 kg/s</t>
        </is>
      </c>
    </row>
    <row r="10">
      <c r="A10" s="4" t="inlineStr">
        <is>
          <t>6. 氣水比 (L/G)</t>
        </is>
      </c>
      <c r="B10" s="8" t="inlineStr">
        <is>
          <t>L/G = L / G_m</t>
        </is>
      </c>
      <c r="C10" s="4" t="inlineStr">
        <is>
          <t>138.89 / 133.33</t>
        </is>
      </c>
      <c r="D10" s="5" t="inlineStr">
        <is>
          <t>1.042</t>
        </is>
      </c>
    </row>
    <row r="11">
      <c r="A11" s="6" t="inlineStr">
        <is>
          <t>7. Merkel 數</t>
        </is>
      </c>
      <c r="B11" s="9" t="inlineStr">
        <is>
          <t>NTU = ∫(Cp·dT)/(h_s - h_a)</t>
        </is>
      </c>
      <c r="C11" s="6" t="inlineStr">
        <is>
          <t>數值積分（辛普森法）</t>
        </is>
      </c>
      <c r="D11" s="7" t="inlineStr">
        <is>
          <t>0.394</t>
        </is>
      </c>
    </row>
    <row r="12">
      <c r="A12" s="4" t="inlineStr">
        <is>
          <t>8. Merkel 法蒸發量</t>
        </is>
      </c>
      <c r="B12" s="8" t="inlineStr">
        <is>
          <t>由焓平衡計算</t>
        </is>
      </c>
      <c r="C12" s="4" t="inlineStr">
        <is>
          <t>G_m × ΔW</t>
        </is>
      </c>
      <c r="D12" s="5" t="inlineStr">
        <is>
          <t>7.9460 m³/h</t>
        </is>
      </c>
    </row>
    <row r="13">
      <c r="A13" s="6" t="inlineStr"/>
      <c r="B13" s="6" t="inlineStr"/>
      <c r="C13" s="6" t="inlineStr"/>
      <c r="D13" s="7" t="inlineStr"/>
    </row>
    <row r="14">
      <c r="A14" s="4" t="inlineStr">
        <is>
          <t>9. 飛濺損失</t>
        </is>
      </c>
      <c r="B14" s="8" t="inlineStr">
        <is>
          <t>損失率 = 0.1% × Q</t>
        </is>
      </c>
      <c r="C14" s="4" t="inlineStr">
        <is>
          <t>0.001 × 500.0</t>
        </is>
      </c>
      <c r="D14" s="5" t="inlineStr">
        <is>
          <t>0.5000 m³/h</t>
        </is>
      </c>
    </row>
    <row r="15">
      <c r="A15" s="6" t="inlineStr">
        <is>
          <t>10. 排污損失</t>
        </is>
      </c>
      <c r="B15" s="9" t="inlineStr">
        <is>
          <t>排污 = E / (COC - 1)</t>
        </is>
      </c>
      <c r="C15" s="6" t="inlineStr">
        <is>
          <t>7.9460 / (3.0 - 1)</t>
        </is>
      </c>
      <c r="D15" s="7" t="inlineStr">
        <is>
          <t>3.9730 m³/h</t>
        </is>
      </c>
    </row>
    <row r="16">
      <c r="A16" s="4" t="inlineStr">
        <is>
          <t>11. 總補給水量</t>
        </is>
      </c>
      <c r="B16" s="8" t="inlineStr">
        <is>
          <t>合計 = 蒸發 + 飛濺 + 排污</t>
        </is>
      </c>
      <c r="C16" s="4" t="inlineStr">
        <is>
          <t>7.9460 + 0.5000 + 3.9730</t>
        </is>
      </c>
      <c r="D16" s="5" t="inlineStr">
        <is>
          <t>12.4190 m³/h</t>
        </is>
      </c>
    </row>
    <row r="17">
      <c r="A17" s="6" t="inlineStr"/>
      <c r="B17" s="6" t="inlineStr"/>
      <c r="C17" s="6" t="inlineStr"/>
      <c r="D17" s="7" t="inlineStr"/>
    </row>
    <row r="18">
      <c r="A18" s="4" t="inlineStr">
        <is>
          <t>12. 逼近溫度</t>
        </is>
      </c>
      <c r="B18" s="8" t="inlineStr">
        <is>
          <t>逼近 = T_out - T_wb</t>
        </is>
      </c>
      <c r="C18" s="4" t="inlineStr">
        <is>
          <t>32.0 - 5.0</t>
        </is>
      </c>
      <c r="D18" s="5" t="inlineStr">
        <is>
          <t>5.0 °C</t>
        </is>
      </c>
    </row>
    <row r="19">
      <c r="A19" s="6" t="inlineStr">
        <is>
          <t>13. 冷卻範圍</t>
        </is>
      </c>
      <c r="B19" s="9" t="inlineStr">
        <is>
          <t>範圍 = T_in - T_out</t>
        </is>
      </c>
      <c r="C19" s="6" t="inlineStr">
        <is>
          <t>37.0 - 32.0</t>
        </is>
      </c>
      <c r="D19" s="7" t="inlineStr">
        <is>
          <t>5.0 °C</t>
        </is>
      </c>
    </row>
    <row r="20">
      <c r="A20" s="4" t="inlineStr">
        <is>
          <t>14. 冷卻效率</t>
        </is>
      </c>
      <c r="B20" s="8" t="inlineStr">
        <is>
          <t>η = 範圍 / (範圍 + 逼近)</t>
        </is>
      </c>
      <c r="C20" s="4" t="inlineStr">
        <is>
          <t>5.0 / (5.0 + 5.0)</t>
        </is>
      </c>
      <c r="D20" s="5" t="inlineStr">
        <is>
          <t>50.0 %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0" customWidth="1" min="3" max="3"/>
    <col width="15" customWidth="1" min="4" max="4"/>
  </cols>
  <sheetData>
    <row r="1">
      <c r="A1" s="1" t="inlineStr">
        <is>
          <t>結果摘要（含即時公式）</t>
        </is>
      </c>
    </row>
    <row r="3">
      <c r="A3" s="10" t="inlineStr">
        <is>
          <t>可編輯輸入值</t>
        </is>
      </c>
    </row>
    <row r="4">
      <c r="A4" s="3" t="inlineStr">
        <is>
          <t>參數</t>
        </is>
      </c>
      <c r="B4" s="3" t="inlineStr">
        <is>
          <t>數值</t>
        </is>
      </c>
      <c r="C4" s="3" t="inlineStr">
        <is>
          <t>單位</t>
        </is>
      </c>
    </row>
    <row r="5">
      <c r="A5" s="4" t="inlineStr">
        <is>
          <t>循環水量</t>
        </is>
      </c>
      <c r="B5" s="11" t="n">
        <v>500</v>
      </c>
      <c r="C5" s="5" t="inlineStr">
        <is>
          <t>m³/h</t>
        </is>
      </c>
    </row>
    <row r="6">
      <c r="A6" s="4" t="inlineStr">
        <is>
          <t>進水溫度</t>
        </is>
      </c>
      <c r="B6" s="11" t="n">
        <v>37</v>
      </c>
      <c r="C6" s="5" t="inlineStr">
        <is>
          <t>°C</t>
        </is>
      </c>
    </row>
    <row r="7">
      <c r="A7" s="4" t="inlineStr">
        <is>
          <t>出水溫度</t>
        </is>
      </c>
      <c r="B7" s="11" t="n">
        <v>32</v>
      </c>
      <c r="C7" s="5" t="inlineStr">
        <is>
          <t>°C</t>
        </is>
      </c>
    </row>
    <row r="8">
      <c r="A8" s="4" t="inlineStr">
        <is>
          <t>蒸發係數</t>
        </is>
      </c>
      <c r="B8" s="11" t="n">
        <v>1</v>
      </c>
      <c r="C8" s="5" t="inlineStr">
        <is>
          <t>-</t>
        </is>
      </c>
    </row>
    <row r="9">
      <c r="A9" s="4" t="inlineStr">
        <is>
          <t>濃縮倍數</t>
        </is>
      </c>
      <c r="B9" s="11" t="n">
        <v>3</v>
      </c>
      <c r="C9" s="5" t="inlineStr">
        <is>
          <t>-</t>
        </is>
      </c>
    </row>
    <row r="10">
      <c r="A10" s="4" t="inlineStr">
        <is>
          <t>飛濺損失率</t>
        </is>
      </c>
      <c r="B10" s="11" t="n">
        <v>0.001</v>
      </c>
      <c r="C10" s="5" t="inlineStr">
        <is>
          <t>-</t>
        </is>
      </c>
    </row>
    <row r="12">
      <c r="A12" s="10" t="inlineStr">
        <is>
          <t>計算結果（自動更新）</t>
        </is>
      </c>
    </row>
    <row r="13">
      <c r="A13" s="3" t="inlineStr">
        <is>
          <t>項目</t>
        </is>
      </c>
      <c r="B13" s="3" t="inlineStr">
        <is>
          <t>公式說明</t>
        </is>
      </c>
      <c r="C13" s="3" t="inlineStr">
        <is>
          <t>計算結果</t>
        </is>
      </c>
      <c r="D13" s="3" t="inlineStr">
        <is>
          <t>單位</t>
        </is>
      </c>
    </row>
    <row r="14">
      <c r="A14" s="4" t="inlineStr">
        <is>
          <t>ΔT（溫差）</t>
        </is>
      </c>
      <c r="B14" s="12" t="inlineStr">
        <is>
          <t>B6-B7</t>
        </is>
      </c>
      <c r="C14" s="13">
        <f>B6-B7</f>
        <v/>
      </c>
      <c r="D14" s="5" t="inlineStr">
        <is>
          <t>°C</t>
        </is>
      </c>
    </row>
    <row r="15">
      <c r="A15" s="6" t="inlineStr">
        <is>
          <t>簡易公式蒸發量</t>
        </is>
      </c>
      <c r="B15" s="14" t="inlineStr">
        <is>
          <t>B8*(B6-B7)*B5/600</t>
        </is>
      </c>
      <c r="C15" s="15">
        <f>B8*(B6-B7)*B5/600</f>
        <v/>
      </c>
      <c r="D15" s="7" t="inlineStr">
        <is>
          <t>m³/h</t>
        </is>
      </c>
    </row>
    <row r="16">
      <c r="A16" s="4" t="inlineStr">
        <is>
          <t>飛濺損失</t>
        </is>
      </c>
      <c r="B16" s="12" t="inlineStr">
        <is>
          <t>B10*B5</t>
        </is>
      </c>
      <c r="C16" s="13">
        <f>B10*B5</f>
        <v/>
      </c>
      <c r="D16" s="5" t="inlineStr">
        <is>
          <t>m³/h</t>
        </is>
      </c>
    </row>
    <row r="17">
      <c r="A17" s="6" t="inlineStr">
        <is>
          <t>排污損失（估算）</t>
        </is>
      </c>
      <c r="B17" s="14" t="inlineStr">
        <is>
          <t>B8*(B6-B7)*B5/600/(B9-1)</t>
        </is>
      </c>
      <c r="C17" s="15">
        <f>B8*(B6-B7)*B5/600/(B9-1)</f>
        <v/>
      </c>
      <c r="D17" s="7" t="inlineStr">
        <is>
          <t>m³/h</t>
        </is>
      </c>
    </row>
    <row r="18">
      <c r="A18" s="4" t="inlineStr">
        <is>
          <t>總補給水量（簡易）</t>
        </is>
      </c>
      <c r="B18" s="12" t="inlineStr">
        <is>
          <t>B8*(B6-B7)*B5/600+B10*B5+B8*(B6-B7)*B5/600/(B9-1)</t>
        </is>
      </c>
      <c r="C18" s="13">
        <f>B8*(B6-B7)*B5/600+B10*B5+B8*(B6-B7)*B5/600/(B9-1)</f>
        <v/>
      </c>
      <c r="D18" s="5" t="inlineStr">
        <is>
          <t>m³/h</t>
        </is>
      </c>
    </row>
    <row r="19">
      <c r="A19" s="6" t="inlineStr">
        <is>
          <t>每日補給水量</t>
        </is>
      </c>
      <c r="B19" s="14" t="inlineStr">
        <is>
          <t>(B8*(B6-B7)*B5/600+B10*B5+B8*(B6-B7)*B5/600/(B9-1))*24</t>
        </is>
      </c>
      <c r="C19" s="15">
        <f>(B8*(B6-B7)*B5/600+B10*B5+B8*(B6-B7)*B5/600/(B9-1))*24</f>
        <v/>
      </c>
      <c r="D19" s="7" t="inlineStr">
        <is>
          <t>m³/日</t>
        </is>
      </c>
    </row>
    <row r="20">
      <c r="A20" s="4" t="inlineStr">
        <is>
          <t>每月補給水量</t>
        </is>
      </c>
      <c r="B20" s="12" t="inlineStr">
        <is>
          <t>(B8*(B6-B7)*B5/600+B10*B5+B8*(B6-B7)*B5/600/(B9-1))*24*30</t>
        </is>
      </c>
      <c r="C20" s="13">
        <f>(B8*(B6-B7)*B5/600+B10*B5+B8*(B6-B7)*B5/600/(B9-1))*24*30</f>
        <v/>
      </c>
      <c r="D20" s="5" t="inlineStr">
        <is>
          <t>m³/月</t>
        </is>
      </c>
    </row>
  </sheetData>
  <mergeCells count="1">
    <mergeCell ref="A1:C1"/>
  </mergeCells>
  <conditionalFormatting sqref="C14:C18">
    <cfRule type="cellIs" priority="1" operator="greaterThan" dxfId="0">
      <formula>100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5" customWidth="1" min="4" max="4"/>
  </cols>
  <sheetData>
    <row r="1">
      <c r="A1" s="1" t="inlineStr">
        <is>
          <t>敏感度分析矩陣</t>
        </is>
      </c>
    </row>
    <row r="3">
      <c r="A3" s="10" t="inlineStr">
        <is>
          <t>溫差 (ΔT) 對蒸發量的影響</t>
        </is>
      </c>
    </row>
    <row r="4">
      <c r="A4" s="3" t="inlineStr">
        <is>
          <t>ΔT (°C)</t>
        </is>
      </c>
      <c r="B4" s="3" t="inlineStr">
        <is>
          <t>簡易蒸發量 (m³/h)</t>
        </is>
      </c>
      <c r="C4" s="3" t="inlineStr">
        <is>
          <t>總補給水量 (m³/h)</t>
        </is>
      </c>
    </row>
    <row r="5">
      <c r="A5" s="5" t="n">
        <v>2</v>
      </c>
      <c r="B5" s="13">
        <f>'結果摘要'!B8*A5*'結果摘要'!B5/600</f>
        <v/>
      </c>
      <c r="C5" s="13">
        <f>'結果摘要'!B8*A5*'結果摘要'!B5/600+'結果摘要'!B10*'結果摘要'!B5+'結果摘要'!B8*A5*'結果摘要'!B5/600/('結果摘要'!B9-1)</f>
        <v/>
      </c>
    </row>
    <row r="6">
      <c r="A6" s="7" t="n">
        <v>3</v>
      </c>
      <c r="B6" s="15">
        <f>'結果摘要'!B8*A6*'結果摘要'!B5/600</f>
        <v/>
      </c>
      <c r="C6" s="15">
        <f>'結果摘要'!B8*A6*'結果摘要'!B5/600+'結果摘要'!B10*'結果摘要'!B5+'結果摘要'!B8*A6*'結果摘要'!B5/600/('結果摘要'!B9-1)</f>
        <v/>
      </c>
    </row>
    <row r="7">
      <c r="A7" s="5" t="n">
        <v>4</v>
      </c>
      <c r="B7" s="13">
        <f>'結果摘要'!B8*A7*'結果摘要'!B5/600</f>
        <v/>
      </c>
      <c r="C7" s="13">
        <f>'結果摘要'!B8*A7*'結果摘要'!B5/600+'結果摘要'!B10*'結果摘要'!B5+'結果摘要'!B8*A7*'結果摘要'!B5/600/('結果摘要'!B9-1)</f>
        <v/>
      </c>
    </row>
    <row r="8">
      <c r="A8" s="7" t="n">
        <v>5</v>
      </c>
      <c r="B8" s="15">
        <f>'結果摘要'!B8*A8*'結果摘要'!B5/600</f>
        <v/>
      </c>
      <c r="C8" s="15">
        <f>'結果摘要'!B8*A8*'結果摘要'!B5/600+'結果摘要'!B10*'結果摘要'!B5+'結果摘要'!B8*A8*'結果摘要'!B5/600/('結果摘要'!B9-1)</f>
        <v/>
      </c>
    </row>
    <row r="9">
      <c r="A9" s="5" t="n">
        <v>6</v>
      </c>
      <c r="B9" s="13">
        <f>'結果摘要'!B8*A9*'結果摘要'!B5/600</f>
        <v/>
      </c>
      <c r="C9" s="13">
        <f>'結果摘要'!B8*A9*'結果摘要'!B5/600+'結果摘要'!B10*'結果摘要'!B5+'結果摘要'!B8*A9*'結果摘要'!B5/600/('結果摘要'!B9-1)</f>
        <v/>
      </c>
    </row>
    <row r="10">
      <c r="A10" s="7" t="n">
        <v>7</v>
      </c>
      <c r="B10" s="15">
        <f>'結果摘要'!B8*A10*'結果摘要'!B5/600</f>
        <v/>
      </c>
      <c r="C10" s="15">
        <f>'結果摘要'!B8*A10*'結果摘要'!B5/600+'結果摘要'!B10*'結果摘要'!B5+'結果摘要'!B8*A10*'結果摘要'!B5/600/('結果摘要'!B9-1)</f>
        <v/>
      </c>
    </row>
    <row r="11">
      <c r="A11" s="5" t="n">
        <v>8</v>
      </c>
      <c r="B11" s="13">
        <f>'結果摘要'!B8*A11*'結果摘要'!B5/600</f>
        <v/>
      </c>
      <c r="C11" s="13">
        <f>'結果摘要'!B8*A11*'結果摘要'!B5/600+'結果摘要'!B10*'結果摘要'!B5+'結果摘要'!B8*A11*'結果摘要'!B5/600/('結果摘要'!B9-1)</f>
        <v/>
      </c>
    </row>
    <row r="12">
      <c r="A12" s="7" t="n">
        <v>10</v>
      </c>
      <c r="B12" s="15">
        <f>'結果摘要'!B8*A12*'結果摘要'!B5/600</f>
        <v/>
      </c>
      <c r="C12" s="15">
        <f>'結果摘要'!B8*A12*'結果摘要'!B5/600+'結果摘要'!B10*'結果摘要'!B5+'結果摘要'!B8*A12*'結果摘要'!B5/600/('結果摘要'!B9-1)</f>
        <v/>
      </c>
    </row>
    <row r="13">
      <c r="A13" s="5" t="n">
        <v>12</v>
      </c>
      <c r="B13" s="13">
        <f>'結果摘要'!B8*A13*'結果摘要'!B5/600</f>
        <v/>
      </c>
      <c r="C13" s="13">
        <f>'結果摘要'!B8*A13*'結果摘要'!B5/600+'結果摘要'!B10*'結果摘要'!B5+'結果摘要'!B8*A13*'結果摘要'!B5/600/('結果摘要'!B9-1)</f>
        <v/>
      </c>
    </row>
    <row r="14">
      <c r="A14" s="7" t="n">
        <v>15</v>
      </c>
      <c r="B14" s="15">
        <f>'結果摘要'!B8*A14*'結果摘要'!B5/600</f>
        <v/>
      </c>
      <c r="C14" s="15">
        <f>'結果摘要'!B8*A14*'結果摘要'!B5/600+'結果摘要'!B10*'結果摘要'!B5+'結果摘要'!B8*A14*'結果摘要'!B5/600/('結果摘要'!B9-1)</f>
        <v/>
      </c>
    </row>
    <row r="17">
      <c r="A17" s="10" t="inlineStr">
        <is>
          <t>濃縮倍數 (COC) 對排污量的影響</t>
        </is>
      </c>
    </row>
    <row r="18">
      <c r="A18" s="3" t="inlineStr">
        <is>
          <t>COC</t>
        </is>
      </c>
      <c r="B18" s="3" t="inlineStr">
        <is>
          <t>排污量 (m³/h)</t>
        </is>
      </c>
      <c r="C18" s="3" t="inlineStr">
        <is>
          <t>總補給水量 (m³/h)</t>
        </is>
      </c>
      <c r="D18" s="3" t="inlineStr">
        <is>
          <t>相對 COC=2 節水率 (%)</t>
        </is>
      </c>
    </row>
    <row r="19">
      <c r="A19" s="5" t="n">
        <v>1.5</v>
      </c>
      <c r="B19" s="13">
        <f>'結果摘要'!B8*('結果摘要'!B6-'結果摘要'!B7)*'結果摘要'!B5/600/(A19-1)</f>
        <v/>
      </c>
      <c r="C19" s="13">
        <f>'結果摘要'!B8*('結果摘要'!B6-'結果摘要'!B7)*'結果摘要'!B5/600+'結果摘要'!B10*'結果摘要'!B5+'結果摘要'!B8*('結果摘要'!B6-'結果摘要'!B7)*'結果摘要'!B5/600/(A19-1)</f>
        <v/>
      </c>
      <c r="D19" s="13">
        <f>IF(C20=0,0,(1-C19/C20)*100)</f>
        <v/>
      </c>
    </row>
    <row r="20">
      <c r="A20" s="7" t="n">
        <v>2</v>
      </c>
      <c r="B20" s="15">
        <f>'結果摘要'!B8*('結果摘要'!B6-'結果摘要'!B7)*'結果摘要'!B5/600/(A20-1)</f>
        <v/>
      </c>
      <c r="C20" s="15">
        <f>'結果摘要'!B8*('結果摘要'!B6-'結果摘要'!B7)*'結果摘要'!B5/600+'結果摘要'!B10*'結果摘要'!B5+'結果摘要'!B8*('結果摘要'!B6-'結果摘要'!B7)*'結果摘要'!B5/600/(A20-1)</f>
        <v/>
      </c>
      <c r="D20" s="15">
        <f>IF(C20=0,0,(1-C20/C20)*100)</f>
        <v/>
      </c>
    </row>
    <row r="21">
      <c r="A21" s="5" t="n">
        <v>2.5</v>
      </c>
      <c r="B21" s="13">
        <f>'結果摘要'!B8*('結果摘要'!B6-'結果摘要'!B7)*'結果摘要'!B5/600/(A21-1)</f>
        <v/>
      </c>
      <c r="C21" s="13">
        <f>'結果摘要'!B8*('結果摘要'!B6-'結果摘要'!B7)*'結果摘要'!B5/600+'結果摘要'!B10*'結果摘要'!B5+'結果摘要'!B8*('結果摘要'!B6-'結果摘要'!B7)*'結果摘要'!B5/600/(A21-1)</f>
        <v/>
      </c>
      <c r="D21" s="13">
        <f>IF(C20=0,0,(1-C21/C20)*100)</f>
        <v/>
      </c>
    </row>
    <row r="22">
      <c r="A22" s="7" t="n">
        <v>3</v>
      </c>
      <c r="B22" s="15">
        <f>'結果摘要'!B8*('結果摘要'!B6-'結果摘要'!B7)*'結果摘要'!B5/600/(A22-1)</f>
        <v/>
      </c>
      <c r="C22" s="15">
        <f>'結果摘要'!B8*('結果摘要'!B6-'結果摘要'!B7)*'結果摘要'!B5/600+'結果摘要'!B10*'結果摘要'!B5+'結果摘要'!B8*('結果摘要'!B6-'結果摘要'!B7)*'結果摘要'!B5/600/(A22-1)</f>
        <v/>
      </c>
      <c r="D22" s="15">
        <f>IF(C20=0,0,(1-C22/C20)*100)</f>
        <v/>
      </c>
    </row>
    <row r="23">
      <c r="A23" s="5" t="n">
        <v>3.5</v>
      </c>
      <c r="B23" s="13">
        <f>'結果摘要'!B8*('結果摘要'!B6-'結果摘要'!B7)*'結果摘要'!B5/600/(A23-1)</f>
        <v/>
      </c>
      <c r="C23" s="13">
        <f>'結果摘要'!B8*('結果摘要'!B6-'結果摘要'!B7)*'結果摘要'!B5/600+'結果摘要'!B10*'結果摘要'!B5+'結果摘要'!B8*('結果摘要'!B6-'結果摘要'!B7)*'結果摘要'!B5/600/(A23-1)</f>
        <v/>
      </c>
      <c r="D23" s="13">
        <f>IF(C20=0,0,(1-C23/C20)*100)</f>
        <v/>
      </c>
    </row>
    <row r="24">
      <c r="A24" s="7" t="n">
        <v>4</v>
      </c>
      <c r="B24" s="15">
        <f>'結果摘要'!B8*('結果摘要'!B6-'結果摘要'!B7)*'結果摘要'!B5/600/(A24-1)</f>
        <v/>
      </c>
      <c r="C24" s="15">
        <f>'結果摘要'!B8*('結果摘要'!B6-'結果摘要'!B7)*'結果摘要'!B5/600+'結果摘要'!B10*'結果摘要'!B5+'結果摘要'!B8*('結果摘要'!B6-'結果摘要'!B7)*'結果摘要'!B5/600/(A24-1)</f>
        <v/>
      </c>
      <c r="D24" s="15">
        <f>IF(C20=0,0,(1-C24/C20)*100)</f>
        <v/>
      </c>
    </row>
    <row r="25">
      <c r="A25" s="5" t="n">
        <v>5</v>
      </c>
      <c r="B25" s="13">
        <f>'結果摘要'!B8*('結果摘要'!B6-'結果摘要'!B7)*'結果摘要'!B5/600/(A25-1)</f>
        <v/>
      </c>
      <c r="C25" s="13">
        <f>'結果摘要'!B8*('結果摘要'!B6-'結果摘要'!B7)*'結果摘要'!B5/600+'結果摘要'!B10*'結果摘要'!B5+'結果摘要'!B8*('結果摘要'!B6-'結果摘要'!B7)*'結果摘要'!B5/600/(A25-1)</f>
        <v/>
      </c>
      <c r="D25" s="13">
        <f>IF(C20=0,0,(1-C25/C20)*100)</f>
        <v/>
      </c>
    </row>
    <row r="26">
      <c r="A26" s="7" t="n">
        <v>6</v>
      </c>
      <c r="B26" s="15">
        <f>'結果摘要'!B8*('結果摘要'!B6-'結果摘要'!B7)*'結果摘要'!B5/600/(A26-1)</f>
        <v/>
      </c>
      <c r="C26" s="15">
        <f>'結果摘要'!B8*('結果摘要'!B6-'結果摘要'!B7)*'結果摘要'!B5/600+'結果摘要'!B10*'結果摘要'!B5+'結果摘要'!B8*('結果摘要'!B6-'結果摘要'!B7)*'結果摘要'!B5/600/(A26-1)</f>
        <v/>
      </c>
      <c r="D26" s="15">
        <f>IF(C20=0,0,(1-C26/C20)*100)</f>
        <v/>
      </c>
    </row>
    <row r="27">
      <c r="A27" s="5" t="n">
        <v>8</v>
      </c>
      <c r="B27" s="13">
        <f>'結果摘要'!B8*('結果摘要'!B6-'結果摘要'!B7)*'結果摘要'!B5/600/(A27-1)</f>
        <v/>
      </c>
      <c r="C27" s="13">
        <f>'結果摘要'!B8*('結果摘要'!B6-'結果摘要'!B7)*'結果摘要'!B5/600+'結果摘要'!B10*'結果摘要'!B5+'結果摘要'!B8*('結果摘要'!B6-'結果摘要'!B7)*'結果摘要'!B5/600/(A27-1)</f>
        <v/>
      </c>
      <c r="D27" s="13">
        <f>IF(C20=0,0,(1-C27/C20)*100)</f>
        <v/>
      </c>
    </row>
    <row r="28">
      <c r="A28" s="7" t="n">
        <v>10</v>
      </c>
      <c r="B28" s="15">
        <f>'結果摘要'!B8*('結果摘要'!B6-'結果摘要'!B7)*'結果摘要'!B5/600/(A28-1)</f>
        <v/>
      </c>
      <c r="C28" s="15">
        <f>'結果摘要'!B8*('結果摘要'!B6-'結果摘要'!B7)*'結果摘要'!B5/600+'結果摘要'!B10*'結果摘要'!B5+'結果摘要'!B8*('結果摘要'!B6-'結果摘要'!B7)*'結果摘要'!B5/600/(A28-1)</f>
        <v/>
      </c>
      <c r="D28" s="15">
        <f>IF(C20=0,0,(1-C28/C20)*100)</f>
        <v/>
      </c>
    </row>
    <row r="31">
      <c r="A31" s="10" t="inlineStr">
        <is>
          <t>循環水量 (Q) 對蒸發量的影響</t>
        </is>
      </c>
    </row>
    <row r="32">
      <c r="A32" s="3" t="inlineStr">
        <is>
          <t>Q (m³/h)</t>
        </is>
      </c>
      <c r="B32" s="3" t="inlineStr">
        <is>
          <t>蒸發量 (m³/h)</t>
        </is>
      </c>
      <c r="C32" s="3" t="inlineStr">
        <is>
          <t>總補給水量 (m³/h)</t>
        </is>
      </c>
    </row>
    <row r="33">
      <c r="A33" s="5" t="n">
        <v>100</v>
      </c>
      <c r="B33" s="13">
        <f>'結果摘要'!B8*('結果摘要'!B6-'結果摘要'!B7)*A33/600</f>
        <v/>
      </c>
      <c r="C33" s="13">
        <f>'結果摘要'!B8*('結果摘要'!B6-'結果摘要'!B7)*A33/600+'結果摘要'!B10*A33+'結果摘要'!B8*('結果摘要'!B6-'結果摘要'!B7)*A33/600/('結果摘要'!B9-1)</f>
        <v/>
      </c>
    </row>
    <row r="34">
      <c r="A34" s="7" t="n">
        <v>200</v>
      </c>
      <c r="B34" s="15">
        <f>'結果摘要'!B8*('結果摘要'!B6-'結果摘要'!B7)*A34/600</f>
        <v/>
      </c>
      <c r="C34" s="15">
        <f>'結果摘要'!B8*('結果摘要'!B6-'結果摘要'!B7)*A34/600+'結果摘要'!B10*A34+'結果摘要'!B8*('結果摘要'!B6-'結果摘要'!B7)*A34/600/('結果摘要'!B9-1)</f>
        <v/>
      </c>
    </row>
    <row r="35">
      <c r="A35" s="5" t="n">
        <v>300</v>
      </c>
      <c r="B35" s="13">
        <f>'結果摘要'!B8*('結果摘要'!B6-'結果摘要'!B7)*A35/600</f>
        <v/>
      </c>
      <c r="C35" s="13">
        <f>'結果摘要'!B8*('結果摘要'!B6-'結果摘要'!B7)*A35/600+'結果摘要'!B10*A35+'結果摘要'!B8*('結果摘要'!B6-'結果摘要'!B7)*A35/600/('結果摘要'!B9-1)</f>
        <v/>
      </c>
    </row>
    <row r="36">
      <c r="A36" s="7" t="n">
        <v>500</v>
      </c>
      <c r="B36" s="15">
        <f>'結果摘要'!B8*('結果摘要'!B6-'結果摘要'!B7)*A36/600</f>
        <v/>
      </c>
      <c r="C36" s="15">
        <f>'結果摘要'!B8*('結果摘要'!B6-'結果摘要'!B7)*A36/600+'結果摘要'!B10*A36+'結果摘要'!B8*('結果摘要'!B6-'結果摘要'!B7)*A36/600/('結果摘要'!B9-1)</f>
        <v/>
      </c>
    </row>
    <row r="37">
      <c r="A37" s="5" t="n">
        <v>750</v>
      </c>
      <c r="B37" s="13">
        <f>'結果摘要'!B8*('結果摘要'!B6-'結果摘要'!B7)*A37/600</f>
        <v/>
      </c>
      <c r="C37" s="13">
        <f>'結果摘要'!B8*('結果摘要'!B6-'結果摘要'!B7)*A37/600+'結果摘要'!B10*A37+'結果摘要'!B8*('結果摘要'!B6-'結果摘要'!B7)*A37/600/('結果摘要'!B9-1)</f>
        <v/>
      </c>
    </row>
    <row r="38">
      <c r="A38" s="7" t="n">
        <v>1000</v>
      </c>
      <c r="B38" s="15">
        <f>'結果摘要'!B8*('結果摘要'!B6-'結果摘要'!B7)*A38/600</f>
        <v/>
      </c>
      <c r="C38" s="15">
        <f>'結果摘要'!B8*('結果摘要'!B6-'結果摘要'!B7)*A38/600+'結果摘要'!B10*A38+'結果摘要'!B8*('結果摘要'!B6-'結果摘要'!B7)*A38/600/('結果摘要'!B9-1)</f>
        <v/>
      </c>
    </row>
    <row r="39">
      <c r="A39" s="5" t="n">
        <v>1500</v>
      </c>
      <c r="B39" s="13">
        <f>'結果摘要'!B8*('結果摘要'!B6-'結果摘要'!B7)*A39/600</f>
        <v/>
      </c>
      <c r="C39" s="13">
        <f>'結果摘要'!B8*('結果摘要'!B6-'結果摘要'!B7)*A39/600+'結果摘要'!B10*A39+'結果摘要'!B8*('結果摘要'!B6-'結果摘要'!B7)*A39/600/('結果摘要'!B9-1)</f>
        <v/>
      </c>
    </row>
    <row r="40">
      <c r="A40" s="7" t="n">
        <v>2000</v>
      </c>
      <c r="B40" s="15">
        <f>'結果摘要'!B8*('結果摘要'!B6-'結果摘要'!B7)*A40/600</f>
        <v/>
      </c>
      <c r="C40" s="15">
        <f>'結果摘要'!B8*('結果摘要'!B6-'結果摘要'!B7)*A40/600+'結果摘要'!B10*A40+'結果摘要'!B8*('結果摘要'!B6-'結果摘要'!B7)*A40/600/('結果摘要'!B9-1)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2026-03-13T16:20:40Z</dcterms:created>
  <dcterms:modified xmlns:dcterms="http://purl.org/dc/terms/" xmlns:xsi="http://www.w3.org/2001/XMLSchema-instance" xsi:type="dcterms:W3CDTF">2026-03-13T16:20:40Z</dcterms:modified>
</cp:coreProperties>
</file>