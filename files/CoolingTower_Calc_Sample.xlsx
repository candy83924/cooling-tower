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Parameters" sheetId="1" state="visible" r:id="rId1"/>
    <sheet xmlns:r="http://schemas.openxmlformats.org/officeDocument/2006/relationships" name="Calculation Steps" sheetId="2" state="visible" r:id="rId2"/>
    <sheet xmlns:r="http://schemas.openxmlformats.org/officeDocument/2006/relationships" name="Results Summary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5276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2C3E50"/>
      <sz val="11"/>
    </font>
    <font>
      <name val="Arial"/>
      <b val="1"/>
      <color rgb="000000FF"/>
      <sz val="10"/>
    </font>
    <font>
      <name val="Arial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Cooling Tower - Input Parameters</t>
        </is>
      </c>
    </row>
    <row r="2">
      <c r="A2" s="2" t="inlineStr">
        <is>
          <t>Project: Sample Cooling Tower  |  Engineer: Engineer  |  Date: 2026-03-13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</row>
    <row r="5">
      <c r="A5" s="4" t="inlineStr">
        <is>
          <t>Circulation Water Flow (Q)</t>
        </is>
      </c>
      <c r="B5" s="5" t="n">
        <v>500</v>
      </c>
      <c r="C5" s="5" t="inlineStr">
        <is>
          <t>m³/h</t>
        </is>
      </c>
    </row>
    <row r="6">
      <c r="A6" s="6" t="inlineStr">
        <is>
          <t>Inlet Water Temp (T_in)</t>
        </is>
      </c>
      <c r="B6" s="7" t="n">
        <v>37</v>
      </c>
      <c r="C6" s="7" t="inlineStr">
        <is>
          <t>°C</t>
        </is>
      </c>
    </row>
    <row r="7">
      <c r="A7" s="4" t="inlineStr">
        <is>
          <t>Outlet Water Temp (T_out)</t>
        </is>
      </c>
      <c r="B7" s="5" t="n">
        <v>32</v>
      </c>
      <c r="C7" s="5" t="inlineStr">
        <is>
          <t>°C</t>
        </is>
      </c>
    </row>
    <row r="8">
      <c r="A8" s="6" t="inlineStr">
        <is>
          <t>Temperature Difference (ΔT)</t>
        </is>
      </c>
      <c r="B8" s="7" t="n">
        <v>5</v>
      </c>
      <c r="C8" s="7" t="inlineStr">
        <is>
          <t>°C</t>
        </is>
      </c>
    </row>
    <row r="9">
      <c r="A9" s="4" t="inlineStr">
        <is>
          <t>Dry Bulb Temperature (Tdb)</t>
        </is>
      </c>
      <c r="B9" s="5" t="n">
        <v>35</v>
      </c>
      <c r="C9" s="5" t="inlineStr">
        <is>
          <t>°C</t>
        </is>
      </c>
    </row>
    <row r="10">
      <c r="A10" s="6" t="inlineStr">
        <is>
          <t>Wet Bulb Temperature (Twb)</t>
        </is>
      </c>
      <c r="B10" s="7" t="n">
        <v>28</v>
      </c>
      <c r="C10" s="7" t="inlineStr">
        <is>
          <t>°C</t>
        </is>
      </c>
    </row>
    <row r="11">
      <c r="A11" s="4" t="inlineStr">
        <is>
          <t>Air Flow Rate (G)</t>
        </is>
      </c>
      <c r="B11" s="5" t="n">
        <v>400000</v>
      </c>
      <c r="C11" s="5" t="inlineStr">
        <is>
          <t>m³/h</t>
        </is>
      </c>
    </row>
    <row r="12">
      <c r="A12" s="6" t="inlineStr">
        <is>
          <t>Fill Characteristic (KaV/L)</t>
        </is>
      </c>
      <c r="B12" s="7" t="n">
        <v>1.5</v>
      </c>
      <c r="C12" s="7" t="inlineStr">
        <is>
          <t>-</t>
        </is>
      </c>
    </row>
    <row r="13">
      <c r="A13" s="4" t="inlineStr">
        <is>
          <t>Cycles of Concentration (COC)</t>
        </is>
      </c>
      <c r="B13" s="5" t="n">
        <v>3</v>
      </c>
      <c r="C13" s="5" t="inlineStr">
        <is>
          <t>-</t>
        </is>
      </c>
    </row>
    <row r="14">
      <c r="A14" s="6" t="inlineStr">
        <is>
          <t>Tower Type</t>
        </is>
      </c>
      <c r="B14" s="7" t="inlineStr">
        <is>
          <t>Counter-flow</t>
        </is>
      </c>
      <c r="C14" s="7" t="inlineStr">
        <is>
          <t>-</t>
        </is>
      </c>
    </row>
    <row r="15">
      <c r="A15" s="4" t="inlineStr">
        <is>
          <t>Season</t>
        </is>
      </c>
      <c r="B15" s="5" t="inlineStr">
        <is>
          <t>Summer (C=1.0)</t>
        </is>
      </c>
      <c r="C15" s="5" t="inlineStr">
        <is>
          <t>-</t>
        </is>
      </c>
    </row>
    <row r="16">
      <c r="A16" s="6" t="inlineStr">
        <is>
          <t>Atmospheric Pressure</t>
        </is>
      </c>
      <c r="B16" s="7" t="n">
        <v>101.325</v>
      </c>
      <c r="C16" s="7" t="inlineStr">
        <is>
          <t>kPa</t>
        </is>
      </c>
    </row>
    <row r="17">
      <c r="A17" s="4" t="inlineStr">
        <is>
          <t>Water Density</t>
        </is>
      </c>
      <c r="B17" s="5" t="n">
        <v>1000</v>
      </c>
      <c r="C17" s="5" t="inlineStr">
        <is>
          <t>kg/m³</t>
        </is>
      </c>
    </row>
    <row r="18">
      <c r="A18" s="6" t="inlineStr">
        <is>
          <t>Specific Heat of Water</t>
        </is>
      </c>
      <c r="B18" s="7" t="n">
        <v>4.186</v>
      </c>
      <c r="C18" s="7" t="inlineStr">
        <is>
          <t>kJ/(kg·°C)</t>
        </is>
      </c>
    </row>
    <row r="19">
      <c r="A19" s="4" t="inlineStr">
        <is>
          <t>Air Density (approx.)</t>
        </is>
      </c>
      <c r="B19" s="5" t="n">
        <v>1.2</v>
      </c>
      <c r="C19" s="5" t="inlineStr">
        <is>
          <t>kg/m³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40" customWidth="1" min="3" max="3"/>
    <col width="22" customWidth="1" min="4" max="4"/>
  </cols>
  <sheetData>
    <row r="1">
      <c r="A1" s="1" t="inlineStr">
        <is>
          <t>Step-by-Step Calculation Process</t>
        </is>
      </c>
    </row>
    <row r="3">
      <c r="A3" s="3" t="inlineStr">
        <is>
          <t>Step</t>
        </is>
      </c>
      <c r="B3" s="3" t="inlineStr">
        <is>
          <t>Formula</t>
        </is>
      </c>
      <c r="C3" s="3" t="inlineStr">
        <is>
          <t>Substitution</t>
        </is>
      </c>
      <c r="D3" s="3" t="inlineStr">
        <is>
          <t>Result</t>
        </is>
      </c>
    </row>
    <row r="4">
      <c r="A4" s="4" t="inlineStr">
        <is>
          <t>1. Temperature Difference</t>
        </is>
      </c>
      <c r="B4" s="8" t="inlineStr">
        <is>
          <t>ΔT = T_in - T_out</t>
        </is>
      </c>
      <c r="C4" s="4" t="inlineStr">
        <is>
          <t>37 - 32</t>
        </is>
      </c>
      <c r="D4" s="5" t="inlineStr">
        <is>
          <t>5.0 °C</t>
        </is>
      </c>
    </row>
    <row r="5">
      <c r="A5" s="6" t="inlineStr">
        <is>
          <t>2. Evaporation Coeff (C)</t>
        </is>
      </c>
      <c r="B5" s="9" t="inlineStr">
        <is>
          <t>C = 1.0 (summer)</t>
        </is>
      </c>
      <c r="C5" s="6" t="inlineStr">
        <is>
          <t>-</t>
        </is>
      </c>
      <c r="D5" s="7" t="inlineStr">
        <is>
          <t>1.0</t>
        </is>
      </c>
    </row>
    <row r="6">
      <c r="A6" s="4" t="inlineStr">
        <is>
          <t>3. Simple Evaporation</t>
        </is>
      </c>
      <c r="B6" s="8" t="inlineStr">
        <is>
          <t>E = C × ΔT × Q / 600</t>
        </is>
      </c>
      <c r="C6" s="4" t="inlineStr">
        <is>
          <t>1.0 × 5.0 × 500.0 / 600</t>
        </is>
      </c>
      <c r="D6" s="5" t="inlineStr">
        <is>
          <t>4.1667 m³/h</t>
        </is>
      </c>
    </row>
    <row r="7">
      <c r="A7" s="6" t="inlineStr"/>
      <c r="B7" s="6" t="inlineStr"/>
      <c r="C7" s="6" t="inlineStr"/>
      <c r="D7" s="7" t="inlineStr"/>
    </row>
    <row r="8">
      <c r="A8" s="4" t="inlineStr">
        <is>
          <t>4. Water Mass Flow (L)</t>
        </is>
      </c>
      <c r="B8" s="8" t="inlineStr">
        <is>
          <t>L = Q × ρw / 3600</t>
        </is>
      </c>
      <c r="C8" s="4" t="inlineStr">
        <is>
          <t>500.0 × 1000 / 3600</t>
        </is>
      </c>
      <c r="D8" s="5" t="inlineStr">
        <is>
          <t>138.89 kg/s</t>
        </is>
      </c>
    </row>
    <row r="9">
      <c r="A9" s="6" t="inlineStr">
        <is>
          <t>5. Air Mass Flow (G_m)</t>
        </is>
      </c>
      <c r="B9" s="9" t="inlineStr">
        <is>
          <t>G_m = G × ρa / 3600</t>
        </is>
      </c>
      <c r="C9" s="6" t="inlineStr">
        <is>
          <t>400000.0 × 1.2 / 3600</t>
        </is>
      </c>
      <c r="D9" s="7" t="inlineStr">
        <is>
          <t>133.33 kg/s</t>
        </is>
      </c>
    </row>
    <row r="10">
      <c r="A10" s="4" t="inlineStr">
        <is>
          <t>6. L/G Ratio</t>
        </is>
      </c>
      <c r="B10" s="8" t="inlineStr">
        <is>
          <t>L/G = L / G_m</t>
        </is>
      </c>
      <c r="C10" s="4" t="inlineStr">
        <is>
          <t>138.89 / 133.33</t>
        </is>
      </c>
      <c r="D10" s="5" t="inlineStr">
        <is>
          <t>1.042</t>
        </is>
      </c>
    </row>
    <row r="11">
      <c r="A11" s="6" t="inlineStr">
        <is>
          <t>7. Merkel Number</t>
        </is>
      </c>
      <c r="B11" s="9" t="inlineStr">
        <is>
          <t>NTU = ∫(Cp·dT)/(h_s - h_a)</t>
        </is>
      </c>
      <c r="C11" s="6" t="inlineStr">
        <is>
          <t>Numerical integration (Simpson)</t>
        </is>
      </c>
      <c r="D11" s="7" t="inlineStr">
        <is>
          <t>0.394</t>
        </is>
      </c>
    </row>
    <row r="12">
      <c r="A12" s="4" t="inlineStr">
        <is>
          <t>8. Merkel Evaporation</t>
        </is>
      </c>
      <c r="B12" s="8" t="inlineStr">
        <is>
          <t>From enthalpy balance</t>
        </is>
      </c>
      <c r="C12" s="4" t="inlineStr">
        <is>
          <t>G_m × ΔW</t>
        </is>
      </c>
      <c r="D12" s="5" t="inlineStr">
        <is>
          <t>7.9460 m³/h</t>
        </is>
      </c>
    </row>
    <row r="13">
      <c r="A13" s="6" t="inlineStr"/>
      <c r="B13" s="6" t="inlineStr"/>
      <c r="C13" s="6" t="inlineStr"/>
      <c r="D13" s="7" t="inlineStr"/>
    </row>
    <row r="14">
      <c r="A14" s="4" t="inlineStr">
        <is>
          <t>9. Splash Loss Rate</t>
        </is>
      </c>
      <c r="B14" s="8" t="inlineStr">
        <is>
          <t>Rate = 0.1% of Q</t>
        </is>
      </c>
      <c r="C14" s="4" t="inlineStr">
        <is>
          <t>0.001 × 500.0</t>
        </is>
      </c>
      <c r="D14" s="5" t="inlineStr">
        <is>
          <t>0.5000 m³/h</t>
        </is>
      </c>
    </row>
    <row r="15">
      <c r="A15" s="6" t="inlineStr">
        <is>
          <t>10. Blowdown</t>
        </is>
      </c>
      <c r="B15" s="9" t="inlineStr">
        <is>
          <t>BD = E / (COC - 1)</t>
        </is>
      </c>
      <c r="C15" s="6" t="inlineStr">
        <is>
          <t>7.9460 / (3.0 - 1)</t>
        </is>
      </c>
      <c r="D15" s="7" t="inlineStr">
        <is>
          <t>3.9730 m³/h</t>
        </is>
      </c>
    </row>
    <row r="16">
      <c r="A16" s="4" t="inlineStr">
        <is>
          <t>11. Total Makeup</t>
        </is>
      </c>
      <c r="B16" s="8" t="inlineStr">
        <is>
          <t>Total = E + Splash + BD</t>
        </is>
      </c>
      <c r="C16" s="4" t="inlineStr">
        <is>
          <t>7.9460 + 0.5000 + 3.9730</t>
        </is>
      </c>
      <c r="D16" s="5" t="inlineStr">
        <is>
          <t>12.4190 m³/h</t>
        </is>
      </c>
    </row>
    <row r="17">
      <c r="A17" s="6" t="inlineStr"/>
      <c r="B17" s="6" t="inlineStr"/>
      <c r="C17" s="6" t="inlineStr"/>
      <c r="D17" s="7" t="inlineStr"/>
    </row>
    <row r="18">
      <c r="A18" s="4" t="inlineStr">
        <is>
          <t>12. Approach Temp</t>
        </is>
      </c>
      <c r="B18" s="8" t="inlineStr">
        <is>
          <t>Approach = T_out - T_wb</t>
        </is>
      </c>
      <c r="C18" s="4" t="inlineStr">
        <is>
          <t>32.0 - 5.0</t>
        </is>
      </c>
      <c r="D18" s="5" t="inlineStr">
        <is>
          <t>5.0 °C</t>
        </is>
      </c>
    </row>
    <row r="19">
      <c r="A19" s="6" t="inlineStr">
        <is>
          <t>13. Cooling Range</t>
        </is>
      </c>
      <c r="B19" s="9" t="inlineStr">
        <is>
          <t>Range = T_in - T_out</t>
        </is>
      </c>
      <c r="C19" s="6" t="inlineStr">
        <is>
          <t>37.0 - 32.0</t>
        </is>
      </c>
      <c r="D19" s="7" t="inlineStr">
        <is>
          <t>5.0 °C</t>
        </is>
      </c>
    </row>
    <row r="20">
      <c r="A20" s="4" t="inlineStr">
        <is>
          <t>14. Efficiency</t>
        </is>
      </c>
      <c r="B20" s="8" t="inlineStr">
        <is>
          <t>η = Range / (Range + Approach)</t>
        </is>
      </c>
      <c r="C20" s="4" t="inlineStr">
        <is>
          <t>5.0 / (5.0 + 5.0)</t>
        </is>
      </c>
      <c r="D20" s="5" t="inlineStr">
        <is>
          <t>50.0 %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5" customWidth="1" min="4" max="4"/>
  </cols>
  <sheetData>
    <row r="1">
      <c r="A1" s="1" t="inlineStr">
        <is>
          <t>Results Summary (with Live Formulas)</t>
        </is>
      </c>
    </row>
    <row r="3">
      <c r="A3" s="10" t="inlineStr">
        <is>
          <t>Editable Inputs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</row>
    <row r="5">
      <c r="A5" s="4" t="inlineStr">
        <is>
          <t>Circulation Flow</t>
        </is>
      </c>
      <c r="B5" s="11" t="n">
        <v>500</v>
      </c>
      <c r="C5" s="5" t="inlineStr">
        <is>
          <t>m³/h</t>
        </is>
      </c>
    </row>
    <row r="6">
      <c r="A6" s="4" t="inlineStr">
        <is>
          <t>Inlet Water Temp</t>
        </is>
      </c>
      <c r="B6" s="11" t="n">
        <v>37</v>
      </c>
      <c r="C6" s="5" t="inlineStr">
        <is>
          <t>°C</t>
        </is>
      </c>
    </row>
    <row r="7">
      <c r="A7" s="4" t="inlineStr">
        <is>
          <t>Outlet Water Temp</t>
        </is>
      </c>
      <c r="B7" s="11" t="n">
        <v>32</v>
      </c>
      <c r="C7" s="5" t="inlineStr">
        <is>
          <t>°C</t>
        </is>
      </c>
    </row>
    <row r="8">
      <c r="A8" s="4" t="inlineStr">
        <is>
          <t>Evaporation Coeff</t>
        </is>
      </c>
      <c r="B8" s="11" t="n">
        <v>1</v>
      </c>
      <c r="C8" s="5" t="inlineStr">
        <is>
          <t>-</t>
        </is>
      </c>
    </row>
    <row r="9">
      <c r="A9" s="4" t="inlineStr">
        <is>
          <t>Cycles of Concentration</t>
        </is>
      </c>
      <c r="B9" s="11" t="n">
        <v>3</v>
      </c>
      <c r="C9" s="5" t="inlineStr">
        <is>
          <t>-</t>
        </is>
      </c>
    </row>
    <row r="10">
      <c r="A10" s="4" t="inlineStr">
        <is>
          <t>Splash Loss Rate</t>
        </is>
      </c>
      <c r="B10" s="11" t="n">
        <v>0.001</v>
      </c>
      <c r="C10" s="5" t="inlineStr">
        <is>
          <t>-</t>
        </is>
      </c>
    </row>
    <row r="12">
      <c r="A12" s="10" t="inlineStr">
        <is>
          <t>Calculated Results (Auto-update)</t>
        </is>
      </c>
    </row>
    <row r="13">
      <c r="A13" s="3" t="inlineStr">
        <is>
          <t>Item</t>
        </is>
      </c>
      <c r="B13" s="3" t="inlineStr">
        <is>
          <t>Formula</t>
        </is>
      </c>
      <c r="C13" s="3" t="inlineStr">
        <is>
          <t>Result</t>
        </is>
      </c>
      <c r="D13" s="3" t="inlineStr">
        <is>
          <t>Unit</t>
        </is>
      </c>
    </row>
    <row r="14">
      <c r="A14" s="4" t="inlineStr">
        <is>
          <t>ΔT (Temp Diff)</t>
        </is>
      </c>
      <c r="B14" s="12" t="inlineStr">
        <is>
          <t>B6-B7</t>
        </is>
      </c>
      <c r="C14" s="13">
        <f>B6-B7</f>
        <v/>
      </c>
      <c r="D14" s="5" t="inlineStr">
        <is>
          <t>°C</t>
        </is>
      </c>
    </row>
    <row r="15">
      <c r="A15" s="6" t="inlineStr">
        <is>
          <t>Simple Evaporation</t>
        </is>
      </c>
      <c r="B15" s="14" t="inlineStr">
        <is>
          <t>B8*(B6-B7)*B5/600</t>
        </is>
      </c>
      <c r="C15" s="15">
        <f>B8*(B6-B7)*B5/600</f>
        <v/>
      </c>
      <c r="D15" s="7" t="inlineStr">
        <is>
          <t>m³/h</t>
        </is>
      </c>
    </row>
    <row r="16">
      <c r="A16" s="4" t="inlineStr">
        <is>
          <t>Splash Loss</t>
        </is>
      </c>
      <c r="B16" s="12" t="inlineStr">
        <is>
          <t>B10*B5</t>
        </is>
      </c>
      <c r="C16" s="13">
        <f>B10*B5</f>
        <v/>
      </c>
      <c r="D16" s="5" t="inlineStr">
        <is>
          <t>m³/h</t>
        </is>
      </c>
    </row>
    <row r="17">
      <c r="A17" s="6" t="inlineStr">
        <is>
          <t>Blowdown (est.)</t>
        </is>
      </c>
      <c r="B17" s="14" t="inlineStr">
        <is>
          <t>B8*(B6-B7)*B5/600/(B9-1)</t>
        </is>
      </c>
      <c r="C17" s="15">
        <f>B8*(B6-B7)*B5/600/(B9-1)</f>
        <v/>
      </c>
      <c r="D17" s="7" t="inlineStr">
        <is>
          <t>m³/h</t>
        </is>
      </c>
    </row>
    <row r="18">
      <c r="A18" s="4" t="inlineStr">
        <is>
          <t>Total Makeup (Simple)</t>
        </is>
      </c>
      <c r="B18" s="12" t="inlineStr">
        <is>
          <t>B8*(B6-B7)*B5/600+B10*B5+B8*(B6-B7)*B5/600/(B9-1)</t>
        </is>
      </c>
      <c r="C18" s="13">
        <f>B8*(B6-B7)*B5/600+B10*B5+B8*(B6-B7)*B5/600/(B9-1)</f>
        <v/>
      </c>
      <c r="D18" s="5" t="inlineStr">
        <is>
          <t>m³/h</t>
        </is>
      </c>
    </row>
    <row r="19">
      <c r="A19" s="6" t="inlineStr">
        <is>
          <t>Daily Makeup</t>
        </is>
      </c>
      <c r="B19" s="14" t="inlineStr">
        <is>
          <t>(B8*(B6-B7)*B5/600+B10*B5+B8*(B6-B7)*B5/600/(B9-1))*24</t>
        </is>
      </c>
      <c r="C19" s="15">
        <f>(B8*(B6-B7)*B5/600+B10*B5+B8*(B6-B7)*B5/600/(B9-1))*24</f>
        <v/>
      </c>
      <c r="D19" s="7" t="inlineStr">
        <is>
          <t>m³/day</t>
        </is>
      </c>
    </row>
    <row r="20">
      <c r="A20" s="4" t="inlineStr">
        <is>
          <t>Monthly Makeup</t>
        </is>
      </c>
      <c r="B20" s="12" t="inlineStr">
        <is>
          <t>(B8*(B6-B7)*B5/600+B10*B5+B8*(B6-B7)*B5/600/(B9-1))*24*30</t>
        </is>
      </c>
      <c r="C20" s="13">
        <f>(B8*(B6-B7)*B5/600+B10*B5+B8*(B6-B7)*B5/600/(B9-1))*24*30</f>
        <v/>
      </c>
      <c r="D20" s="5" t="inlineStr">
        <is>
          <t>m³/month</t>
        </is>
      </c>
    </row>
  </sheetData>
  <mergeCells count="1">
    <mergeCell ref="A1:C1"/>
  </mergeCells>
  <conditionalFormatting sqref="C14:C18">
    <cfRule type="cellIs" priority="1" operator="greaterThan" dxfId="0">
      <formula>100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5" customWidth="1" min="4" max="4"/>
  </cols>
  <sheetData>
    <row r="1">
      <c r="A1" s="1" t="inlineStr">
        <is>
          <t>Sensitivity Analysis Matrix</t>
        </is>
      </c>
    </row>
    <row r="3">
      <c r="A3" s="10" t="inlineStr">
        <is>
          <t>Effect of Temperature Difference (ΔT)</t>
        </is>
      </c>
    </row>
    <row r="4">
      <c r="A4" s="3" t="inlineStr">
        <is>
          <t>ΔT (°C)</t>
        </is>
      </c>
      <c r="B4" s="3" t="inlineStr">
        <is>
          <t>E_simple (m³/h)</t>
        </is>
      </c>
      <c r="C4" s="3" t="inlineStr">
        <is>
          <t>E_total (m³/h)</t>
        </is>
      </c>
    </row>
    <row r="5">
      <c r="A5" s="5" t="n">
        <v>2</v>
      </c>
      <c r="B5" s="13">
        <f>B8*A5*B5/600</f>
        <v/>
      </c>
      <c r="C5" s="13">
        <f>B8*A5*B5/600+B10*B5+B8*A5*B5/600/(B9-1)</f>
        <v/>
      </c>
    </row>
    <row r="6">
      <c r="A6" s="7" t="n">
        <v>3</v>
      </c>
      <c r="B6" s="15">
        <f>B8*A6*B5/600</f>
        <v/>
      </c>
      <c r="C6" s="15">
        <f>B8*A6*B5/600+B10*B5+B8*A6*B5/600/(B9-1)</f>
        <v/>
      </c>
    </row>
    <row r="7">
      <c r="A7" s="5" t="n">
        <v>4</v>
      </c>
      <c r="B7" s="13">
        <f>B8*A7*B5/600</f>
        <v/>
      </c>
      <c r="C7" s="13">
        <f>B8*A7*B5/600+B10*B5+B8*A7*B5/600/(B9-1)</f>
        <v/>
      </c>
    </row>
    <row r="8">
      <c r="A8" s="7" t="n">
        <v>5</v>
      </c>
      <c r="B8" s="15">
        <f>B8*A8*B5/600</f>
        <v/>
      </c>
      <c r="C8" s="15">
        <f>B8*A8*B5/600+B10*B5+B8*A8*B5/600/(B9-1)</f>
        <v/>
      </c>
    </row>
    <row r="9">
      <c r="A9" s="5" t="n">
        <v>6</v>
      </c>
      <c r="B9" s="13">
        <f>B8*A9*B5/600</f>
        <v/>
      </c>
      <c r="C9" s="13">
        <f>B8*A9*B5/600+B10*B5+B8*A9*B5/600/(B9-1)</f>
        <v/>
      </c>
    </row>
    <row r="10">
      <c r="A10" s="7" t="n">
        <v>7</v>
      </c>
      <c r="B10" s="15">
        <f>B8*A10*B5/600</f>
        <v/>
      </c>
      <c r="C10" s="15">
        <f>B8*A10*B5/600+B10*B5+B8*A10*B5/600/(B9-1)</f>
        <v/>
      </c>
    </row>
    <row r="11">
      <c r="A11" s="5" t="n">
        <v>8</v>
      </c>
      <c r="B11" s="13">
        <f>B8*A11*B5/600</f>
        <v/>
      </c>
      <c r="C11" s="13">
        <f>B8*A11*B5/600+B10*B5+B8*A11*B5/600/(B9-1)</f>
        <v/>
      </c>
    </row>
    <row r="12">
      <c r="A12" s="7" t="n">
        <v>10</v>
      </c>
      <c r="B12" s="15">
        <f>B8*A12*B5/600</f>
        <v/>
      </c>
      <c r="C12" s="15">
        <f>B8*A12*B5/600+B10*B5+B8*A12*B5/600/(B9-1)</f>
        <v/>
      </c>
    </row>
    <row r="13">
      <c r="A13" s="5" t="n">
        <v>12</v>
      </c>
      <c r="B13" s="13">
        <f>B8*A13*B5/600</f>
        <v/>
      </c>
      <c r="C13" s="13">
        <f>B8*A13*B5/600+B10*B5+B8*A13*B5/600/(B9-1)</f>
        <v/>
      </c>
    </row>
    <row r="14">
      <c r="A14" s="7" t="n">
        <v>15</v>
      </c>
      <c r="B14" s="15">
        <f>B8*A14*B5/600</f>
        <v/>
      </c>
      <c r="C14" s="15">
        <f>B8*A14*B5/600+B10*B5+B8*A14*B5/600/(B9-1)</f>
        <v/>
      </c>
    </row>
    <row r="17">
      <c r="A17" s="10" t="inlineStr">
        <is>
          <t>Effect of Cycles of Concentration (COC)</t>
        </is>
      </c>
    </row>
    <row r="18">
      <c r="A18" s="3" t="inlineStr">
        <is>
          <t>COC</t>
        </is>
      </c>
      <c r="B18" s="3" t="inlineStr">
        <is>
          <t>Blowdown (m³/h)</t>
        </is>
      </c>
      <c r="C18" s="3" t="inlineStr">
        <is>
          <t>Total Makeup (m³/h)</t>
        </is>
      </c>
      <c r="D18" s="3" t="inlineStr">
        <is>
          <t>Water Saved vs COC=2 (%)</t>
        </is>
      </c>
    </row>
    <row r="19">
      <c r="A19" s="5" t="n">
        <v>1.5</v>
      </c>
      <c r="B19" s="13">
        <f>B8*(B6-B7)*B5/600/(A19-1)</f>
        <v/>
      </c>
      <c r="C19" s="13">
        <f>B8*(B6-B7)*B5/600+B10*B5+B8*(B6-B7)*B5/600/(A19-1)</f>
        <v/>
      </c>
      <c r="D19" s="13">
        <f>IF(C20=0,0,(1-C19/C20)*100)</f>
        <v/>
      </c>
    </row>
    <row r="20">
      <c r="A20" s="7" t="n">
        <v>2</v>
      </c>
      <c r="B20" s="15">
        <f>B8*(B6-B7)*B5/600/(A20-1)</f>
        <v/>
      </c>
      <c r="C20" s="15">
        <f>B8*(B6-B7)*B5/600+B10*B5+B8*(B6-B7)*B5/600/(A20-1)</f>
        <v/>
      </c>
      <c r="D20" s="15">
        <f>IF(C20=0,0,(1-C20/C20)*100)</f>
        <v/>
      </c>
    </row>
    <row r="21">
      <c r="A21" s="5" t="n">
        <v>2.5</v>
      </c>
      <c r="B21" s="13">
        <f>B8*(B6-B7)*B5/600/(A21-1)</f>
        <v/>
      </c>
      <c r="C21" s="13">
        <f>B8*(B6-B7)*B5/600+B10*B5+B8*(B6-B7)*B5/600/(A21-1)</f>
        <v/>
      </c>
      <c r="D21" s="13">
        <f>IF(C20=0,0,(1-C21/C20)*100)</f>
        <v/>
      </c>
    </row>
    <row r="22">
      <c r="A22" s="7" t="n">
        <v>3</v>
      </c>
      <c r="B22" s="15">
        <f>B8*(B6-B7)*B5/600/(A22-1)</f>
        <v/>
      </c>
      <c r="C22" s="15">
        <f>B8*(B6-B7)*B5/600+B10*B5+B8*(B6-B7)*B5/600/(A22-1)</f>
        <v/>
      </c>
      <c r="D22" s="15">
        <f>IF(C20=0,0,(1-C22/C20)*100)</f>
        <v/>
      </c>
    </row>
    <row r="23">
      <c r="A23" s="5" t="n">
        <v>3.5</v>
      </c>
      <c r="B23" s="13">
        <f>B8*(B6-B7)*B5/600/(A23-1)</f>
        <v/>
      </c>
      <c r="C23" s="13">
        <f>B8*(B6-B7)*B5/600+B10*B5+B8*(B6-B7)*B5/600/(A23-1)</f>
        <v/>
      </c>
      <c r="D23" s="13">
        <f>IF(C20=0,0,(1-C23/C20)*100)</f>
        <v/>
      </c>
    </row>
    <row r="24">
      <c r="A24" s="7" t="n">
        <v>4</v>
      </c>
      <c r="B24" s="15">
        <f>B8*(B6-B7)*B5/600/(A24-1)</f>
        <v/>
      </c>
      <c r="C24" s="15">
        <f>B8*(B6-B7)*B5/600+B10*B5+B8*(B6-B7)*B5/600/(A24-1)</f>
        <v/>
      </c>
      <c r="D24" s="15">
        <f>IF(C20=0,0,(1-C24/C20)*100)</f>
        <v/>
      </c>
    </row>
    <row r="25">
      <c r="A25" s="5" t="n">
        <v>5</v>
      </c>
      <c r="B25" s="13">
        <f>B8*(B6-B7)*B5/600/(A25-1)</f>
        <v/>
      </c>
      <c r="C25" s="13">
        <f>B8*(B6-B7)*B5/600+B10*B5+B8*(B6-B7)*B5/600/(A25-1)</f>
        <v/>
      </c>
      <c r="D25" s="13">
        <f>IF(C20=0,0,(1-C25/C20)*100)</f>
        <v/>
      </c>
    </row>
    <row r="26">
      <c r="A26" s="7" t="n">
        <v>6</v>
      </c>
      <c r="B26" s="15">
        <f>B8*(B6-B7)*B5/600/(A26-1)</f>
        <v/>
      </c>
      <c r="C26" s="15">
        <f>B8*(B6-B7)*B5/600+B10*B5+B8*(B6-B7)*B5/600/(A26-1)</f>
        <v/>
      </c>
      <c r="D26" s="15">
        <f>IF(C20=0,0,(1-C26/C20)*100)</f>
        <v/>
      </c>
    </row>
    <row r="27">
      <c r="A27" s="5" t="n">
        <v>8</v>
      </c>
      <c r="B27" s="13">
        <f>B8*(B6-B7)*B5/600/(A27-1)</f>
        <v/>
      </c>
      <c r="C27" s="13">
        <f>B8*(B6-B7)*B5/600+B10*B5+B8*(B6-B7)*B5/600/(A27-1)</f>
        <v/>
      </c>
      <c r="D27" s="13">
        <f>IF(C20=0,0,(1-C27/C20)*100)</f>
        <v/>
      </c>
    </row>
    <row r="28">
      <c r="A28" s="7" t="n">
        <v>10</v>
      </c>
      <c r="B28" s="15">
        <f>B8*(B6-B7)*B5/600/(A28-1)</f>
        <v/>
      </c>
      <c r="C28" s="15">
        <f>B8*(B6-B7)*B5/600+B10*B5+B8*(B6-B7)*B5/600/(A28-1)</f>
        <v/>
      </c>
      <c r="D28" s="15">
        <f>IF(C20=0,0,(1-C28/C20)*100)</f>
        <v/>
      </c>
    </row>
    <row r="31">
      <c r="A31" s="10" t="inlineStr">
        <is>
          <t>Effect of Circulation Flow Rate (Q)</t>
        </is>
      </c>
    </row>
    <row r="32">
      <c r="A32" s="3" t="inlineStr">
        <is>
          <t>Q (m³/h)</t>
        </is>
      </c>
      <c r="B32" s="3" t="inlineStr">
        <is>
          <t>Evaporation (m³/h)</t>
        </is>
      </c>
      <c r="C32" s="3" t="inlineStr">
        <is>
          <t>Total Makeup (m³/h)</t>
        </is>
      </c>
    </row>
    <row r="33">
      <c r="A33" s="5" t="n">
        <v>100</v>
      </c>
      <c r="B33" s="13">
        <f>B8*(B6-B7)*A33/600</f>
        <v/>
      </c>
      <c r="C33" s="13">
        <f>B8*(B6-B7)*A33/600+B10*A33+B8*(B6-B7)*A33/600/(B9-1)</f>
        <v/>
      </c>
    </row>
    <row r="34">
      <c r="A34" s="7" t="n">
        <v>200</v>
      </c>
      <c r="B34" s="15">
        <f>B8*(B6-B7)*A34/600</f>
        <v/>
      </c>
      <c r="C34" s="15">
        <f>B8*(B6-B7)*A34/600+B10*A34+B8*(B6-B7)*A34/600/(B9-1)</f>
        <v/>
      </c>
    </row>
    <row r="35">
      <c r="A35" s="5" t="n">
        <v>300</v>
      </c>
      <c r="B35" s="13">
        <f>B8*(B6-B7)*A35/600</f>
        <v/>
      </c>
      <c r="C35" s="13">
        <f>B8*(B6-B7)*A35/600+B10*A35+B8*(B6-B7)*A35/600/(B9-1)</f>
        <v/>
      </c>
    </row>
    <row r="36">
      <c r="A36" s="7" t="n">
        <v>500</v>
      </c>
      <c r="B36" s="15">
        <f>B8*(B6-B7)*A36/600</f>
        <v/>
      </c>
      <c r="C36" s="15">
        <f>B8*(B6-B7)*A36/600+B10*A36+B8*(B6-B7)*A36/600/(B9-1)</f>
        <v/>
      </c>
    </row>
    <row r="37">
      <c r="A37" s="5" t="n">
        <v>750</v>
      </c>
      <c r="B37" s="13">
        <f>B8*(B6-B7)*A37/600</f>
        <v/>
      </c>
      <c r="C37" s="13">
        <f>B8*(B6-B7)*A37/600+B10*A37+B8*(B6-B7)*A37/600/(B9-1)</f>
        <v/>
      </c>
    </row>
    <row r="38">
      <c r="A38" s="7" t="n">
        <v>1000</v>
      </c>
      <c r="B38" s="15">
        <f>B8*(B6-B7)*A38/600</f>
        <v/>
      </c>
      <c r="C38" s="15">
        <f>B8*(B6-B7)*A38/600+B10*A38+B8*(B6-B7)*A38/600/(B9-1)</f>
        <v/>
      </c>
    </row>
    <row r="39">
      <c r="A39" s="5" t="n">
        <v>1500</v>
      </c>
      <c r="B39" s="13">
        <f>B8*(B6-B7)*A39/600</f>
        <v/>
      </c>
      <c r="C39" s="13">
        <f>B8*(B6-B7)*A39/600+B10*A39+B8*(B6-B7)*A39/600/(B9-1)</f>
        <v/>
      </c>
    </row>
    <row r="40">
      <c r="A40" s="7" t="n">
        <v>2000</v>
      </c>
      <c r="B40" s="15">
        <f>B8*(B6-B7)*A40/600</f>
        <v/>
      </c>
      <c r="C40" s="15">
        <f>B8*(B6-B7)*A40/600+B10*A40+B8*(B6-B7)*A40/600/(B9-1)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2026-03-13T15:53:08Z</dcterms:created>
  <dcterms:modified xmlns:dcterms="http://purl.org/dc/terms/" xmlns:xsi="http://www.w3.org/2001/XMLSchema-instance" xsi:type="dcterms:W3CDTF">2026-03-13T15:53:08Z</dcterms:modified>
</cp:coreProperties>
</file>